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Pricing Framework" sheetId="1" state="visible" r:id="rId3"/>
    <sheet name="Applicant Pricing" sheetId="2" state="visible" r:id="rId4"/>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<sst xmlns="http://schemas.openxmlformats.org/spreadsheetml/2006/main" count="32" uniqueCount="31">
  <si>
    <t xml:space="preserve">Credit Risk Pricing Framework</t>
  </si>
  <si>
    <t xml:space="preserve">Cost &amp; Pricing Assumptions</t>
  </si>
  <si>
    <t xml:space="preserve">Average credit exposure per applicant</t>
  </si>
  <si>
    <t xml:space="preserve">Loss given default (% of exposure lost after collections)</t>
  </si>
  <si>
    <t xml:space="preserve">Net interest margin on a performing loan</t>
  </si>
  <si>
    <t xml:space="preserve">Cost per missed default (false negative)</t>
  </si>
  <si>
    <t xml:space="preserve">Cost per wrongly-declined applicant (false positive)</t>
  </si>
  <si>
    <t xml:space="preserve">Note: this dataset has no actual loan amount, interest rate, or recovery data. The three blue inputs above are illustrative assumptions we chose for this case study, not values derived from the data. Every dollar figure downstream inherits that assumption.</t>
  </si>
  <si>
    <t xml:space="preserve">Risk Tier Table</t>
  </si>
  <si>
    <t xml:space="preserve">Risk Tier</t>
  </si>
  <si>
    <t xml:space="preserve">Min Predicted Risk</t>
  </si>
  <si>
    <t xml:space="preserve">Max Predicted Risk</t>
  </si>
  <si>
    <t xml:space="preserve">Test-Set Actual Default Rate</t>
  </si>
  <si>
    <t xml:space="preserve">Illustrative Rate</t>
  </si>
  <si>
    <t xml:space="preserve">Low risk</t>
  </si>
  <si>
    <t xml:space="preserve">Moderate risk</t>
  </si>
  <si>
    <t xml:space="preserve">Decline</t>
  </si>
  <si>
    <t xml:space="preserve">N/A</t>
  </si>
  <si>
    <t xml:space="preserve">Decline cutoff (8.2%) is the cost-minimizing threshold from the model step. The 3% split between Low/Moderate is a reasonable illustrative choice, not separately cost-optimized (the dataset has no rate/margin data granular enough to solve for that second cutoff).</t>
  </si>
  <si>
    <t xml:space="preserve">Sample Applicant Pricing</t>
  </si>
  <si>
    <t xml:space="preserve">HOW TO FILL THIS IN: column G (Assigned Rate) is left blank below the example row. In G5, write a VLOOKUP formula that looks up this applicant's Risk Tier (column F) in the Risk Tier Table on the 'Pricing Framework' sheet, and returns the Illustrative Rate. Row 4 shows a worked example (light gray) - copy its formula's structure, then drag-fill your formula down through row 34.</t>
  </si>
  <si>
    <t xml:space="preserve">Applicant ID</t>
  </si>
  <si>
    <t xml:space="preserve">Age</t>
  </si>
  <si>
    <t xml:space="preserve">Monthly Income</t>
  </si>
  <si>
    <t xml:space="preserve">Revolving Utilization</t>
  </si>
  <si>
    <t xml:space="preserve">Predicted Risk (Gradient Boosting)</t>
  </si>
  <si>
    <t xml:space="preserve">Assigned Rate</t>
  </si>
  <si>
    <t xml:space="preserve">90697 (EXAMPLE)</t>
  </si>
  <si>
    <t xml:space="preserve">Legend</t>
  </si>
  <si>
    <t xml:space="preserve">Worked example row (formula already written)</t>
  </si>
  <si>
    <t xml:space="preserve">Your turn - write the VLOOKUP formula here, then fill down</t>
  </si>
</sst>
</file>

<file path=xl/styles.xml><?xml version="1.0" encoding="utf-8"?>
<styleSheet xmlns="http://schemas.openxmlformats.org/spreadsheetml/2006/main">
  <numFmts count="3">
    <numFmt numFmtId="164" formatCode="General"/>
    <numFmt numFmtId="165" formatCode="\$#,##0"/>
    <numFmt numFmtId="166" formatCode="0.0%"/>
  </numFmts>
  <fonts count="11">
    <font>
      <sz val="11"/>
      <color theme="1"/>
      <name val="Calibri"/>
      <family val="2"/>
      <charset val="1"/>
    </font>
    <font>
      <sz val="10"/>
      <name val="Arial"/>
      <family val="0"/>
    </font>
    <font>
      <sz val="10"/>
      <name val="Arial"/>
      <family val="0"/>
    </font>
    <font>
      <sz val="10"/>
      <name val="Arial"/>
      <family val="0"/>
    </font>
    <font>
      <b val="true"/>
      <sz val="14"/>
      <name val="Arial"/>
      <family val="0"/>
      <charset val="1"/>
    </font>
    <font>
      <b val="true"/>
      <sz val="11"/>
      <name val="Arial"/>
      <family val="0"/>
      <charset val="1"/>
    </font>
    <font>
      <sz val="11"/>
      <color rgb="FF000000"/>
      <name val="Arial"/>
      <family val="0"/>
      <charset val="1"/>
    </font>
    <font>
      <sz val="11"/>
      <color rgb="FF0000FF"/>
      <name val="Arial"/>
      <family val="0"/>
      <charset val="1"/>
    </font>
    <font>
      <i val="true"/>
      <sz val="9.5"/>
      <color rgb="FF595959"/>
      <name val="Arial"/>
      <family val="0"/>
      <charset val="1"/>
    </font>
    <font>
      <b val="true"/>
      <sz val="11"/>
      <color rgb="FFFFFFFF"/>
      <name val="Arial"/>
      <family val="0"/>
      <charset val="1"/>
    </font>
    <font>
      <i val="true"/>
      <sz val="11"/>
      <name val="Arial"/>
      <family val="0"/>
      <charset val="1"/>
    </font>
  </fonts>
  <fills count="5">
    <fill>
      <patternFill patternType="none"/>
    </fill>
    <fill>
      <patternFill patternType="gray125"/>
    </fill>
    <fill>
      <patternFill patternType="solid">
        <fgColor rgb="FF2A78D6"/>
        <bgColor rgb="FF0066CC"/>
      </patternFill>
    </fill>
    <fill>
      <patternFill patternType="solid">
        <fgColor rgb="FFE1E0D9"/>
        <bgColor rgb="FFCCFFCC"/>
      </patternFill>
    </fill>
    <fill>
      <patternFill patternType="solid">
        <fgColor rgb="FFFFFF00"/>
        <bgColor rgb="FFFFFF00"/>
      </patternFill>
    </fill>
  </fills>
  <borders count="2">
    <border diagonalUp="false" diagonalDown="false">
      <left/>
      <right/>
      <top/>
      <bottom/>
      <diagonal/>
    </border>
    <border diagonalUp="false" diagonalDown="false">
      <left style="thin">
        <color rgb="FFC3C2B7"/>
      </left>
      <right style="thin">
        <color rgb="FFC3C2B7"/>
      </right>
      <top style="thin">
        <color rgb="FFC3C2B7"/>
      </top>
      <bottom style="thin">
        <color rgb="FFC3C2B7"/>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3">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tru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5" fontId="7" fillId="0" borderId="0" xfId="0" applyFont="true" applyBorder="false" applyAlignment="false" applyProtection="false">
      <alignment horizontal="general" vertical="bottom" textRotation="0" wrapText="false" indent="0" shrinkToFit="false"/>
      <protection locked="true" hidden="false"/>
    </xf>
    <xf numFmtId="166" fontId="7" fillId="0" borderId="0" xfId="0" applyFont="true" applyBorder="false" applyAlignment="false" applyProtection="false">
      <alignment horizontal="general" vertical="bottom" textRotation="0" wrapText="false" indent="0" shrinkToFit="false"/>
      <protection locked="true" hidden="false"/>
    </xf>
    <xf numFmtId="165" fontId="6" fillId="0" borderId="0" xfId="0" applyFont="true" applyBorder="false" applyAlignment="false" applyProtection="false">
      <alignment horizontal="general" vertical="bottom" textRotation="0" wrapText="false" indent="0" shrinkToFit="false"/>
      <protection locked="true" hidden="false"/>
    </xf>
    <xf numFmtId="164" fontId="8" fillId="0" borderId="0" xfId="0" applyFont="true" applyBorder="true" applyAlignment="true" applyProtection="false">
      <alignment horizontal="general" vertical="top" textRotation="0" wrapText="true" indent="0" shrinkToFit="false"/>
      <protection locked="true" hidden="false"/>
    </xf>
    <xf numFmtId="164" fontId="9" fillId="2" borderId="1" xfId="0" applyFont="true" applyBorder="true" applyAlignment="true" applyProtection="false">
      <alignment horizontal="center" vertical="center" textRotation="0" wrapText="true" indent="0" shrinkToFit="false"/>
      <protection locked="true" hidden="false"/>
    </xf>
    <xf numFmtId="164" fontId="6" fillId="0" borderId="1" xfId="0" applyFont="true" applyBorder="true" applyAlignment="false" applyProtection="false">
      <alignment horizontal="general" vertical="bottom" textRotation="0" wrapText="false" indent="0" shrinkToFit="false"/>
      <protection locked="true" hidden="false"/>
    </xf>
    <xf numFmtId="166" fontId="0" fillId="0" borderId="1" xfId="0" applyFont="false" applyBorder="true" applyAlignment="false" applyProtection="false">
      <alignment horizontal="general" vertical="bottom" textRotation="0" wrapText="false" indent="0" shrinkToFit="false"/>
      <protection locked="true" hidden="false"/>
    </xf>
    <xf numFmtId="166" fontId="7" fillId="0" borderId="1" xfId="0" applyFont="true" applyBorder="true" applyAlignment="false" applyProtection="false">
      <alignment horizontal="general" vertical="bottom" textRotation="0" wrapText="false" indent="0" shrinkToFit="false"/>
      <protection locked="true" hidden="false"/>
    </xf>
    <xf numFmtId="164" fontId="7" fillId="0" borderId="1" xfId="0" applyFont="true" applyBorder="true" applyAlignment="false" applyProtection="false">
      <alignment horizontal="general" vertical="bottom" textRotation="0" wrapText="false" indent="0" shrinkToFit="false"/>
      <protection locked="true" hidden="false"/>
    </xf>
    <xf numFmtId="164" fontId="10" fillId="3" borderId="1" xfId="0" applyFont="true" applyBorder="true" applyAlignment="false" applyProtection="false">
      <alignment horizontal="general" vertical="bottom" textRotation="0" wrapText="false" indent="0" shrinkToFit="false"/>
      <protection locked="true" hidden="false"/>
    </xf>
    <xf numFmtId="164" fontId="0" fillId="3" borderId="1" xfId="0" applyFont="false" applyBorder="true" applyAlignment="false" applyProtection="false">
      <alignment horizontal="general" vertical="bottom" textRotation="0" wrapText="false" indent="0" shrinkToFit="false"/>
      <protection locked="true" hidden="false"/>
    </xf>
    <xf numFmtId="165" fontId="0" fillId="3" borderId="1" xfId="0" applyFont="false" applyBorder="true" applyAlignment="false" applyProtection="false">
      <alignment horizontal="general" vertical="bottom" textRotation="0" wrapText="false" indent="0" shrinkToFit="false"/>
      <protection locked="true" hidden="false"/>
    </xf>
    <xf numFmtId="166" fontId="0" fillId="3" borderId="1" xfId="0" applyFont="false" applyBorder="true" applyAlignment="false" applyProtection="false">
      <alignment horizontal="general" vertical="bottom" textRotation="0" wrapText="false" indent="0" shrinkToFit="false"/>
      <protection locked="true" hidden="false"/>
    </xf>
    <xf numFmtId="165" fontId="6" fillId="0" borderId="1" xfId="0" applyFont="true" applyBorder="true" applyAlignment="false" applyProtection="false">
      <alignment horizontal="general" vertical="bottom" textRotation="0" wrapText="false" indent="0" shrinkToFit="false"/>
      <protection locked="true" hidden="false"/>
    </xf>
    <xf numFmtId="166" fontId="6" fillId="0" borderId="1" xfId="0" applyFont="true" applyBorder="true" applyAlignment="false" applyProtection="false">
      <alignment horizontal="general" vertical="bottom" textRotation="0" wrapText="false" indent="0" shrinkToFit="false"/>
      <protection locked="true" hidden="false"/>
    </xf>
    <xf numFmtId="164" fontId="6" fillId="4" borderId="1" xfId="0" applyFont="true" applyBorder="true" applyAlignment="false" applyProtection="false">
      <alignment horizontal="general" vertical="bottom" textRotation="0" wrapText="false" indent="0" shrinkToFit="false"/>
      <protection locked="true" hidden="false"/>
    </xf>
    <xf numFmtId="164" fontId="0" fillId="3" borderId="0" xfId="0" applyFont="false" applyBorder="false" applyAlignment="false" applyProtection="false">
      <alignment horizontal="general" vertical="bottom" textRotation="0" wrapText="false" indent="0" shrinkToFit="false"/>
      <protection locked="true" hidden="false"/>
    </xf>
    <xf numFmtId="164" fontId="8" fillId="0" borderId="0" xfId="0" applyFont="true" applyBorder="false" applyAlignment="false" applyProtection="false">
      <alignment horizontal="general" vertical="bottom" textRotation="0" wrapText="false" indent="0" shrinkToFit="false"/>
      <protection locked="true" hidden="false"/>
    </xf>
    <xf numFmtId="164" fontId="0" fillId="4" borderId="0" xfId="0" applyFont="fals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3C2B7"/>
      <rgbColor rgb="FF808080"/>
      <rgbColor rgb="FF9999FF"/>
      <rgbColor rgb="FF993366"/>
      <rgbColor rgb="FFFFFFCC"/>
      <rgbColor rgb="FFCCFFFF"/>
      <rgbColor rgb="FF660066"/>
      <rgbColor rgb="FFFF8080"/>
      <rgbColor rgb="FF0066CC"/>
      <rgbColor rgb="FFE1E0D9"/>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2A78D6"/>
      <rgbColor rgb="FF33CCCC"/>
      <rgbColor rgb="FF99CC00"/>
      <rgbColor rgb="FFFFCC00"/>
      <rgbColor rgb="FFFF9900"/>
      <rgbColor rgb="FFFF6600"/>
      <rgbColor rgb="FF595959"/>
      <rgbColor rgb="FF969696"/>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17"/>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42"/>
    <col collapsed="false" customWidth="true" hidden="false" outlineLevel="0" max="5" min="2" style="0" width="16"/>
  </cols>
  <sheetData>
    <row r="1" customFormat="false" ht="17.35" hidden="false" customHeight="false" outlineLevel="0" collapsed="false">
      <c r="A1" s="1" t="s">
        <v>0</v>
      </c>
      <c r="B1" s="1"/>
      <c r="C1" s="1"/>
      <c r="D1" s="1"/>
      <c r="E1" s="1"/>
    </row>
    <row r="3" customFormat="false" ht="15" hidden="false" customHeight="false" outlineLevel="0" collapsed="false">
      <c r="A3" s="2" t="s">
        <v>1</v>
      </c>
    </row>
    <row r="4" customFormat="false" ht="15" hidden="false" customHeight="false" outlineLevel="0" collapsed="false">
      <c r="A4" s="3" t="s">
        <v>2</v>
      </c>
      <c r="B4" s="4" t="n">
        <v>5000</v>
      </c>
    </row>
    <row r="5" customFormat="false" ht="15" hidden="false" customHeight="false" outlineLevel="0" collapsed="false">
      <c r="A5" s="3" t="s">
        <v>3</v>
      </c>
      <c r="B5" s="5" t="n">
        <v>0.6</v>
      </c>
    </row>
    <row r="6" customFormat="false" ht="15" hidden="false" customHeight="false" outlineLevel="0" collapsed="false">
      <c r="A6" s="3" t="s">
        <v>4</v>
      </c>
      <c r="B6" s="5" t="n">
        <v>0.05</v>
      </c>
    </row>
    <row r="7" customFormat="false" ht="15" hidden="false" customHeight="false" outlineLevel="0" collapsed="false">
      <c r="A7" s="3" t="s">
        <v>5</v>
      </c>
      <c r="B7" s="6" t="n">
        <f aca="false">B4*B5</f>
        <v>3000</v>
      </c>
    </row>
    <row r="8" customFormat="false" ht="15" hidden="false" customHeight="false" outlineLevel="0" collapsed="false">
      <c r="A8" s="3" t="s">
        <v>6</v>
      </c>
      <c r="B8" s="6" t="n">
        <f aca="false">B4*B6</f>
        <v>250</v>
      </c>
    </row>
    <row r="10" customFormat="false" ht="39.75" hidden="false" customHeight="true" outlineLevel="0" collapsed="false">
      <c r="A10" s="7" t="s">
        <v>7</v>
      </c>
      <c r="B10" s="7"/>
      <c r="C10" s="7"/>
      <c r="D10" s="7"/>
      <c r="E10" s="7"/>
      <c r="F10" s="7"/>
    </row>
    <row r="12" customFormat="false" ht="15" hidden="false" customHeight="false" outlineLevel="0" collapsed="false">
      <c r="A12" s="2" t="s">
        <v>8</v>
      </c>
    </row>
    <row r="13" customFormat="false" ht="26.85" hidden="false" customHeight="false" outlineLevel="0" collapsed="false">
      <c r="A13" s="8" t="s">
        <v>9</v>
      </c>
      <c r="B13" s="8" t="s">
        <v>10</v>
      </c>
      <c r="C13" s="8" t="s">
        <v>11</v>
      </c>
      <c r="D13" s="8" t="s">
        <v>12</v>
      </c>
      <c r="E13" s="8" t="s">
        <v>13</v>
      </c>
    </row>
    <row r="14" customFormat="false" ht="15" hidden="false" customHeight="false" outlineLevel="0" collapsed="false">
      <c r="A14" s="9" t="s">
        <v>14</v>
      </c>
      <c r="B14" s="10" t="n">
        <v>0</v>
      </c>
      <c r="C14" s="10" t="n">
        <v>0.03</v>
      </c>
      <c r="D14" s="10" t="n">
        <v>0.0114</v>
      </c>
      <c r="E14" s="11" t="n">
        <v>0.129</v>
      </c>
    </row>
    <row r="15" customFormat="false" ht="15" hidden="false" customHeight="false" outlineLevel="0" collapsed="false">
      <c r="A15" s="9" t="s">
        <v>15</v>
      </c>
      <c r="B15" s="10" t="n">
        <v>0.03</v>
      </c>
      <c r="C15" s="10" t="n">
        <v>0.082</v>
      </c>
      <c r="D15" s="10" t="n">
        <v>0.0485</v>
      </c>
      <c r="E15" s="11" t="n">
        <v>0.199</v>
      </c>
    </row>
    <row r="16" customFormat="false" ht="15" hidden="false" customHeight="false" outlineLevel="0" collapsed="false">
      <c r="A16" s="9" t="s">
        <v>16</v>
      </c>
      <c r="B16" s="10" t="n">
        <v>0.082</v>
      </c>
      <c r="C16" s="10" t="n">
        <v>1</v>
      </c>
      <c r="D16" s="10" t="n">
        <v>0.2403</v>
      </c>
      <c r="E16" s="12" t="s">
        <v>17</v>
      </c>
    </row>
    <row r="17" customFormat="false" ht="39.75" hidden="false" customHeight="true" outlineLevel="0" collapsed="false">
      <c r="A17" s="7" t="s">
        <v>18</v>
      </c>
      <c r="B17" s="7"/>
      <c r="C17" s="7"/>
      <c r="D17" s="7"/>
      <c r="E17" s="7"/>
      <c r="F17" s="7"/>
    </row>
  </sheetData>
  <mergeCells count="3">
    <mergeCell ref="A1:E1"/>
    <mergeCell ref="A10:F10"/>
    <mergeCell ref="A17:F17"/>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39"/>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6"/>
    <col collapsed="false" customWidth="true" hidden="false" outlineLevel="0" max="2" min="2" style="0" width="8"/>
    <col collapsed="false" customWidth="true" hidden="false" outlineLevel="0" max="7" min="3" style="0" width="17"/>
  </cols>
  <sheetData>
    <row r="1" customFormat="false" ht="17.35" hidden="false" customHeight="false" outlineLevel="0" collapsed="false">
      <c r="A1" s="1" t="s">
        <v>19</v>
      </c>
      <c r="B1" s="1"/>
      <c r="C1" s="1"/>
      <c r="D1" s="1"/>
      <c r="E1" s="1"/>
      <c r="F1" s="1"/>
      <c r="G1" s="1"/>
    </row>
    <row r="2" customFormat="false" ht="54.75" hidden="false" customHeight="true" outlineLevel="0" collapsed="false">
      <c r="A2" s="7" t="s">
        <v>20</v>
      </c>
      <c r="B2" s="7"/>
      <c r="C2" s="7"/>
      <c r="D2" s="7"/>
      <c r="E2" s="7"/>
      <c r="F2" s="7"/>
      <c r="G2" s="7"/>
    </row>
    <row r="3" customFormat="false" ht="39.55" hidden="false" customHeight="false" outlineLevel="0" collapsed="false">
      <c r="A3" s="8" t="s">
        <v>21</v>
      </c>
      <c r="B3" s="8" t="s">
        <v>22</v>
      </c>
      <c r="C3" s="8" t="s">
        <v>23</v>
      </c>
      <c r="D3" s="8" t="s">
        <v>24</v>
      </c>
      <c r="E3" s="8" t="s">
        <v>25</v>
      </c>
      <c r="F3" s="8" t="s">
        <v>9</v>
      </c>
      <c r="G3" s="8" t="s">
        <v>26</v>
      </c>
    </row>
    <row r="4" customFormat="false" ht="15" hidden="false" customHeight="false" outlineLevel="0" collapsed="false">
      <c r="A4" s="13" t="s">
        <v>27</v>
      </c>
      <c r="B4" s="14" t="n">
        <v>49</v>
      </c>
      <c r="C4" s="15" t="n">
        <v>6666</v>
      </c>
      <c r="D4" s="16" t="n">
        <v>0.926086139</v>
      </c>
      <c r="E4" s="16" t="n">
        <v>0.0666830249130725</v>
      </c>
      <c r="F4" s="14" t="str">
        <f aca="false">IF(E4&lt;0.03,"Low risk",IF(E4&lt;0.082,"Moderate risk","Decline"))</f>
        <v>Moderate risk</v>
      </c>
      <c r="G4" s="16" t="n">
        <f aca="false">VLOOKUP(F4,'Pricing Framework'!$A$14:$E$16,5,FALSE())</f>
        <v>0.199</v>
      </c>
    </row>
    <row r="5" customFormat="false" ht="15" hidden="false" customHeight="false" outlineLevel="0" collapsed="false">
      <c r="A5" s="9" t="n">
        <v>85402</v>
      </c>
      <c r="B5" s="9" t="n">
        <v>69</v>
      </c>
      <c r="C5" s="17" t="n">
        <v>5400</v>
      </c>
      <c r="D5" s="18" t="n">
        <v>0.063953092</v>
      </c>
      <c r="E5" s="18" t="n">
        <v>0.0029776512179523</v>
      </c>
      <c r="F5" s="9" t="str">
        <f aca="false">IF(E5&lt;0.03,"Low risk",IF(E5&lt;0.082,"Moderate risk","Decline"))</f>
        <v>Low risk</v>
      </c>
      <c r="G5" s="19"/>
    </row>
    <row r="6" customFormat="false" ht="15" hidden="false" customHeight="false" outlineLevel="0" collapsed="false">
      <c r="A6" s="9" t="n">
        <v>125107</v>
      </c>
      <c r="B6" s="9" t="n">
        <v>61</v>
      </c>
      <c r="C6" s="17" t="n">
        <v>13800</v>
      </c>
      <c r="D6" s="18" t="n">
        <v>0.075533425</v>
      </c>
      <c r="E6" s="18" t="n">
        <v>0.0036211119499057</v>
      </c>
      <c r="F6" s="9" t="str">
        <f aca="false">IF(E6&lt;0.03,"Low risk",IF(E6&lt;0.082,"Moderate risk","Decline"))</f>
        <v>Low risk</v>
      </c>
      <c r="G6" s="19"/>
    </row>
    <row r="7" customFormat="false" ht="15" hidden="false" customHeight="false" outlineLevel="0" collapsed="false">
      <c r="A7" s="9" t="n">
        <v>55871</v>
      </c>
      <c r="B7" s="9" t="n">
        <v>63</v>
      </c>
      <c r="C7" s="17" t="n">
        <v>5400</v>
      </c>
      <c r="D7" s="18" t="n">
        <v>0.020439182</v>
      </c>
      <c r="E7" s="18" t="n">
        <v>0.0040113128721714</v>
      </c>
      <c r="F7" s="9" t="str">
        <f aca="false">IF(E7&lt;0.03,"Low risk",IF(E7&lt;0.082,"Moderate risk","Decline"))</f>
        <v>Low risk</v>
      </c>
      <c r="G7" s="19"/>
    </row>
    <row r="8" customFormat="false" ht="15" hidden="false" customHeight="false" outlineLevel="0" collapsed="false">
      <c r="A8" s="9" t="n">
        <v>53116</v>
      </c>
      <c r="B8" s="9" t="n">
        <v>72</v>
      </c>
      <c r="C8" s="17" t="n">
        <v>5400</v>
      </c>
      <c r="D8" s="18" t="n">
        <v>0.127935547</v>
      </c>
      <c r="E8" s="18" t="n">
        <v>0.0044515001121908</v>
      </c>
      <c r="F8" s="9" t="str">
        <f aca="false">IF(E8&lt;0.03,"Low risk",IF(E8&lt;0.082,"Moderate risk","Decline"))</f>
        <v>Low risk</v>
      </c>
      <c r="G8" s="19"/>
    </row>
    <row r="9" customFormat="false" ht="15" hidden="false" customHeight="false" outlineLevel="0" collapsed="false">
      <c r="A9" s="9" t="n">
        <v>13626</v>
      </c>
      <c r="B9" s="9" t="n">
        <v>73</v>
      </c>
      <c r="C9" s="17" t="n">
        <v>3500</v>
      </c>
      <c r="D9" s="18" t="n">
        <v>0.042327607</v>
      </c>
      <c r="E9" s="18" t="n">
        <v>0.00700005274266</v>
      </c>
      <c r="F9" s="9" t="str">
        <f aca="false">IF(E9&lt;0.03,"Low risk",IF(E9&lt;0.082,"Moderate risk","Decline"))</f>
        <v>Low risk</v>
      </c>
      <c r="G9" s="19"/>
    </row>
    <row r="10" customFormat="false" ht="15" hidden="false" customHeight="false" outlineLevel="0" collapsed="false">
      <c r="A10" s="9" t="n">
        <v>50788</v>
      </c>
      <c r="B10" s="9" t="n">
        <v>64</v>
      </c>
      <c r="C10" s="17" t="n">
        <v>1318</v>
      </c>
      <c r="D10" s="18" t="n">
        <v>0.031691089</v>
      </c>
      <c r="E10" s="18" t="n">
        <v>0.007297618407756</v>
      </c>
      <c r="F10" s="9" t="str">
        <f aca="false">IF(E10&lt;0.03,"Low risk",IF(E10&lt;0.082,"Moderate risk","Decline"))</f>
        <v>Low risk</v>
      </c>
      <c r="G10" s="19"/>
    </row>
    <row r="11" customFormat="false" ht="15" hidden="false" customHeight="false" outlineLevel="0" collapsed="false">
      <c r="A11" s="9" t="n">
        <v>56903</v>
      </c>
      <c r="B11" s="9" t="n">
        <v>62</v>
      </c>
      <c r="C11" s="17" t="n">
        <v>7888</v>
      </c>
      <c r="D11" s="18" t="n">
        <v>0.029414372</v>
      </c>
      <c r="E11" s="18" t="n">
        <v>0.0102640678174793</v>
      </c>
      <c r="F11" s="9" t="str">
        <f aca="false">IF(E11&lt;0.03,"Low risk",IF(E11&lt;0.082,"Moderate risk","Decline"))</f>
        <v>Low risk</v>
      </c>
      <c r="G11" s="19"/>
    </row>
    <row r="12" customFormat="false" ht="15" hidden="false" customHeight="false" outlineLevel="0" collapsed="false">
      <c r="A12" s="9" t="n">
        <v>5361</v>
      </c>
      <c r="B12" s="9" t="n">
        <v>67</v>
      </c>
      <c r="C12" s="17" t="n">
        <v>3701</v>
      </c>
      <c r="D12" s="18" t="n">
        <v>0.207175217</v>
      </c>
      <c r="E12" s="18" t="n">
        <v>0.0103248506784439</v>
      </c>
      <c r="F12" s="9" t="str">
        <f aca="false">IF(E12&lt;0.03,"Low risk",IF(E12&lt;0.082,"Moderate risk","Decline"))</f>
        <v>Low risk</v>
      </c>
      <c r="G12" s="19"/>
    </row>
    <row r="13" customFormat="false" ht="15" hidden="false" customHeight="false" outlineLevel="0" collapsed="false">
      <c r="A13" s="9" t="n">
        <v>82098</v>
      </c>
      <c r="B13" s="9" t="n">
        <v>56</v>
      </c>
      <c r="C13" s="17" t="n">
        <v>9900</v>
      </c>
      <c r="D13" s="18" t="n">
        <v>0.204159099</v>
      </c>
      <c r="E13" s="18" t="n">
        <v>0.0140680667012929</v>
      </c>
      <c r="F13" s="9" t="str">
        <f aca="false">IF(E13&lt;0.03,"Low risk",IF(E13&lt;0.082,"Moderate risk","Decline"))</f>
        <v>Low risk</v>
      </c>
      <c r="G13" s="19"/>
    </row>
    <row r="14" customFormat="false" ht="15" hidden="false" customHeight="false" outlineLevel="0" collapsed="false">
      <c r="A14" s="9" t="n">
        <v>135859</v>
      </c>
      <c r="B14" s="9" t="n">
        <v>55</v>
      </c>
      <c r="C14" s="17" t="n">
        <v>5229</v>
      </c>
      <c r="D14" s="18" t="n">
        <v>0.078237796</v>
      </c>
      <c r="E14" s="18" t="n">
        <v>0.0147357564419507</v>
      </c>
      <c r="F14" s="9" t="str">
        <f aca="false">IF(E14&lt;0.03,"Low risk",IF(E14&lt;0.082,"Moderate risk","Decline"))</f>
        <v>Low risk</v>
      </c>
      <c r="G14" s="19"/>
    </row>
    <row r="15" customFormat="false" ht="15" hidden="false" customHeight="false" outlineLevel="0" collapsed="false">
      <c r="A15" s="9" t="n">
        <v>31948</v>
      </c>
      <c r="B15" s="9" t="n">
        <v>57</v>
      </c>
      <c r="C15" s="17" t="n">
        <v>5400</v>
      </c>
      <c r="D15" s="18" t="n">
        <v>0.58548513</v>
      </c>
      <c r="E15" s="18" t="n">
        <v>0.030241734161973</v>
      </c>
      <c r="F15" s="9" t="str">
        <f aca="false">IF(E15&lt;0.03,"Low risk",IF(E15&lt;0.082,"Moderate risk","Decline"))</f>
        <v>Moderate risk</v>
      </c>
      <c r="G15" s="19"/>
    </row>
    <row r="16" customFormat="false" ht="15" hidden="false" customHeight="false" outlineLevel="0" collapsed="false">
      <c r="A16" s="9" t="n">
        <v>144305</v>
      </c>
      <c r="B16" s="9" t="n">
        <v>42</v>
      </c>
      <c r="C16" s="17" t="n">
        <v>5400</v>
      </c>
      <c r="D16" s="18" t="n">
        <v>0.348359549</v>
      </c>
      <c r="E16" s="18" t="n">
        <v>0.034209818392992</v>
      </c>
      <c r="F16" s="9" t="str">
        <f aca="false">IF(E16&lt;0.03,"Low risk",IF(E16&lt;0.082,"Moderate risk","Decline"))</f>
        <v>Moderate risk</v>
      </c>
      <c r="G16" s="19"/>
    </row>
    <row r="17" customFormat="false" ht="15" hidden="false" customHeight="false" outlineLevel="0" collapsed="false">
      <c r="A17" s="9" t="n">
        <v>139018</v>
      </c>
      <c r="B17" s="9" t="n">
        <v>54</v>
      </c>
      <c r="C17" s="17" t="n">
        <v>4500</v>
      </c>
      <c r="D17" s="18" t="n">
        <v>0.322875071</v>
      </c>
      <c r="E17" s="18" t="n">
        <v>0.034209818392992</v>
      </c>
      <c r="F17" s="9" t="str">
        <f aca="false">IF(E17&lt;0.03,"Low risk",IF(E17&lt;0.082,"Moderate risk","Decline"))</f>
        <v>Moderate risk</v>
      </c>
      <c r="G17" s="19"/>
    </row>
    <row r="18" customFormat="false" ht="15" hidden="false" customHeight="false" outlineLevel="0" collapsed="false">
      <c r="A18" s="9" t="n">
        <v>13404</v>
      </c>
      <c r="B18" s="9" t="n">
        <v>35</v>
      </c>
      <c r="C18" s="17" t="n">
        <v>2000</v>
      </c>
      <c r="D18" s="18" t="n">
        <v>0.371546356</v>
      </c>
      <c r="E18" s="18" t="n">
        <v>0.0358070895075798</v>
      </c>
      <c r="F18" s="9" t="str">
        <f aca="false">IF(E18&lt;0.03,"Low risk",IF(E18&lt;0.082,"Moderate risk","Decline"))</f>
        <v>Moderate risk</v>
      </c>
      <c r="G18" s="19"/>
    </row>
    <row r="19" customFormat="false" ht="15" hidden="false" customHeight="false" outlineLevel="0" collapsed="false">
      <c r="A19" s="9" t="n">
        <v>108719</v>
      </c>
      <c r="B19" s="9" t="n">
        <v>53</v>
      </c>
      <c r="C19" s="17" t="n">
        <v>5230</v>
      </c>
      <c r="D19" s="18" t="n">
        <v>0.0207013</v>
      </c>
      <c r="E19" s="18" t="n">
        <v>0.0412850230932235</v>
      </c>
      <c r="F19" s="9" t="str">
        <f aca="false">IF(E19&lt;0.03,"Low risk",IF(E19&lt;0.082,"Moderate risk","Decline"))</f>
        <v>Moderate risk</v>
      </c>
      <c r="G19" s="19"/>
    </row>
    <row r="20" customFormat="false" ht="15" hidden="false" customHeight="false" outlineLevel="0" collapsed="false">
      <c r="A20" s="9" t="n">
        <v>120225</v>
      </c>
      <c r="B20" s="9" t="n">
        <v>32</v>
      </c>
      <c r="C20" s="17" t="n">
        <v>3625</v>
      </c>
      <c r="D20" s="18" t="n">
        <v>0</v>
      </c>
      <c r="E20" s="18" t="n">
        <v>0.0452601723372936</v>
      </c>
      <c r="F20" s="9" t="str">
        <f aca="false">IF(E20&lt;0.03,"Low risk",IF(E20&lt;0.082,"Moderate risk","Decline"))</f>
        <v>Moderate risk</v>
      </c>
      <c r="G20" s="19"/>
    </row>
    <row r="21" customFormat="false" ht="15" hidden="false" customHeight="false" outlineLevel="0" collapsed="false">
      <c r="A21" s="9" t="n">
        <v>45040</v>
      </c>
      <c r="B21" s="9" t="n">
        <v>34</v>
      </c>
      <c r="C21" s="17" t="n">
        <v>5400</v>
      </c>
      <c r="D21" s="18" t="n">
        <v>0.177274138</v>
      </c>
      <c r="E21" s="18" t="n">
        <v>0.0458456203341484</v>
      </c>
      <c r="F21" s="9" t="str">
        <f aca="false">IF(E21&lt;0.03,"Low risk",IF(E21&lt;0.082,"Moderate risk","Decline"))</f>
        <v>Moderate risk</v>
      </c>
      <c r="G21" s="19"/>
    </row>
    <row r="22" customFormat="false" ht="15" hidden="false" customHeight="false" outlineLevel="0" collapsed="false">
      <c r="A22" s="9" t="n">
        <v>68296</v>
      </c>
      <c r="B22" s="9" t="n">
        <v>34</v>
      </c>
      <c r="C22" s="17" t="n">
        <v>6750</v>
      </c>
      <c r="D22" s="18" t="n">
        <v>0.049027348</v>
      </c>
      <c r="E22" s="18" t="n">
        <v>0.0551284924149513</v>
      </c>
      <c r="F22" s="9" t="str">
        <f aca="false">IF(E22&lt;0.03,"Low risk",IF(E22&lt;0.082,"Moderate risk","Decline"))</f>
        <v>Moderate risk</v>
      </c>
      <c r="G22" s="19"/>
    </row>
    <row r="23" customFormat="false" ht="15" hidden="false" customHeight="false" outlineLevel="0" collapsed="false">
      <c r="A23" s="9" t="n">
        <v>148612</v>
      </c>
      <c r="B23" s="9" t="n">
        <v>46</v>
      </c>
      <c r="C23" s="17" t="n">
        <v>5400</v>
      </c>
      <c r="D23" s="18" t="n">
        <v>0.678949832</v>
      </c>
      <c r="E23" s="18" t="n">
        <v>0.0586735129356384</v>
      </c>
      <c r="F23" s="9" t="str">
        <f aca="false">IF(E23&lt;0.03,"Low risk",IF(E23&lt;0.082,"Moderate risk","Decline"))</f>
        <v>Moderate risk</v>
      </c>
      <c r="G23" s="19"/>
    </row>
    <row r="24" customFormat="false" ht="15" hidden="false" customHeight="false" outlineLevel="0" collapsed="false">
      <c r="A24" s="9" t="n">
        <v>94220</v>
      </c>
      <c r="B24" s="9" t="n">
        <v>64</v>
      </c>
      <c r="C24" s="17" t="n">
        <v>5400</v>
      </c>
      <c r="D24" s="18" t="n">
        <v>0.055168564</v>
      </c>
      <c r="E24" s="18" t="n">
        <v>0.0636876381933689</v>
      </c>
      <c r="F24" s="9" t="str">
        <f aca="false">IF(E24&lt;0.03,"Low risk",IF(E24&lt;0.082,"Moderate risk","Decline"))</f>
        <v>Moderate risk</v>
      </c>
      <c r="G24" s="19"/>
    </row>
    <row r="25" customFormat="false" ht="15" hidden="false" customHeight="false" outlineLevel="0" collapsed="false">
      <c r="A25" s="9" t="n">
        <v>70773</v>
      </c>
      <c r="B25" s="9" t="n">
        <v>39</v>
      </c>
      <c r="C25" s="17" t="n">
        <v>49000</v>
      </c>
      <c r="D25" s="18" t="n">
        <v>0.967663015</v>
      </c>
      <c r="E25" s="18" t="n">
        <v>0.0883294716477394</v>
      </c>
      <c r="F25" s="9" t="str">
        <f aca="false">IF(E25&lt;0.03,"Low risk",IF(E25&lt;0.082,"Moderate risk","Decline"))</f>
        <v>Decline</v>
      </c>
      <c r="G25" s="19"/>
    </row>
    <row r="26" customFormat="false" ht="15" hidden="false" customHeight="false" outlineLevel="0" collapsed="false">
      <c r="A26" s="9" t="n">
        <v>122610</v>
      </c>
      <c r="B26" s="9" t="n">
        <v>50</v>
      </c>
      <c r="C26" s="17" t="n">
        <v>5000</v>
      </c>
      <c r="D26" s="18" t="n">
        <v>0.9999999</v>
      </c>
      <c r="E26" s="18" t="n">
        <v>0.105111967027187</v>
      </c>
      <c r="F26" s="9" t="str">
        <f aca="false">IF(E26&lt;0.03,"Low risk",IF(E26&lt;0.082,"Moderate risk","Decline"))</f>
        <v>Decline</v>
      </c>
      <c r="G26" s="19"/>
    </row>
    <row r="27" customFormat="false" ht="15" hidden="false" customHeight="false" outlineLevel="0" collapsed="false">
      <c r="A27" s="9" t="n">
        <v>11281</v>
      </c>
      <c r="B27" s="9" t="n">
        <v>51</v>
      </c>
      <c r="C27" s="17" t="n">
        <v>1400</v>
      </c>
      <c r="D27" s="18" t="n">
        <v>1.004116436</v>
      </c>
      <c r="E27" s="18" t="n">
        <v>0.117743611335754</v>
      </c>
      <c r="F27" s="9" t="str">
        <f aca="false">IF(E27&lt;0.03,"Low risk",IF(E27&lt;0.082,"Moderate risk","Decline"))</f>
        <v>Decline</v>
      </c>
      <c r="G27" s="19"/>
    </row>
    <row r="28" customFormat="false" ht="15" hidden="false" customHeight="false" outlineLevel="0" collapsed="false">
      <c r="A28" s="9" t="n">
        <v>95439</v>
      </c>
      <c r="B28" s="9" t="n">
        <v>31</v>
      </c>
      <c r="C28" s="17" t="n">
        <v>5400</v>
      </c>
      <c r="D28" s="18" t="n">
        <v>0.9999999</v>
      </c>
      <c r="E28" s="18" t="n">
        <v>0.118541093170643</v>
      </c>
      <c r="F28" s="9" t="str">
        <f aca="false">IF(E28&lt;0.03,"Low risk",IF(E28&lt;0.082,"Moderate risk","Decline"))</f>
        <v>Decline</v>
      </c>
      <c r="G28" s="19"/>
    </row>
    <row r="29" customFormat="false" ht="15" hidden="false" customHeight="false" outlineLevel="0" collapsed="false">
      <c r="A29" s="9" t="n">
        <v>140638</v>
      </c>
      <c r="B29" s="9" t="n">
        <v>43</v>
      </c>
      <c r="C29" s="17" t="n">
        <v>3908</v>
      </c>
      <c r="D29" s="18" t="n">
        <v>0.908026472</v>
      </c>
      <c r="E29" s="18" t="n">
        <v>0.155839505791664</v>
      </c>
      <c r="F29" s="9" t="str">
        <f aca="false">IF(E29&lt;0.03,"Low risk",IF(E29&lt;0.082,"Moderate risk","Decline"))</f>
        <v>Decline</v>
      </c>
      <c r="G29" s="19"/>
    </row>
    <row r="30" customFormat="false" ht="15" hidden="false" customHeight="false" outlineLevel="0" collapsed="false">
      <c r="A30" s="9" t="n">
        <v>130432</v>
      </c>
      <c r="B30" s="9" t="n">
        <v>46</v>
      </c>
      <c r="C30" s="17" t="n">
        <v>5400</v>
      </c>
      <c r="D30" s="18" t="n">
        <v>0.638972684</v>
      </c>
      <c r="E30" s="18" t="n">
        <v>0.230889287590981</v>
      </c>
      <c r="F30" s="9" t="str">
        <f aca="false">IF(E30&lt;0.03,"Low risk",IF(E30&lt;0.082,"Moderate risk","Decline"))</f>
        <v>Decline</v>
      </c>
      <c r="G30" s="19"/>
    </row>
    <row r="31" customFormat="false" ht="15" hidden="false" customHeight="false" outlineLevel="0" collapsed="false">
      <c r="A31" s="9" t="n">
        <v>15973</v>
      </c>
      <c r="B31" s="9" t="n">
        <v>34</v>
      </c>
      <c r="C31" s="17" t="n">
        <v>4000</v>
      </c>
      <c r="D31" s="18" t="n">
        <v>0.900762405</v>
      </c>
      <c r="E31" s="18" t="n">
        <v>0.259558427333832</v>
      </c>
      <c r="F31" s="9" t="str">
        <f aca="false">IF(E31&lt;0.03,"Low risk",IF(E31&lt;0.082,"Moderate risk","Decline"))</f>
        <v>Decline</v>
      </c>
      <c r="G31" s="19"/>
    </row>
    <row r="32" customFormat="false" ht="15" hidden="false" customHeight="false" outlineLevel="0" collapsed="false">
      <c r="A32" s="9" t="n">
        <v>34534</v>
      </c>
      <c r="B32" s="9" t="n">
        <v>44</v>
      </c>
      <c r="C32" s="17" t="n">
        <v>21500</v>
      </c>
      <c r="D32" s="18" t="n">
        <v>0.069844306</v>
      </c>
      <c r="E32" s="18" t="n">
        <v>0.275889411568642</v>
      </c>
      <c r="F32" s="9" t="str">
        <f aca="false">IF(E32&lt;0.03,"Low risk",IF(E32&lt;0.082,"Moderate risk","Decline"))</f>
        <v>Decline</v>
      </c>
      <c r="G32" s="19"/>
    </row>
    <row r="33" customFormat="false" ht="15" hidden="false" customHeight="false" outlineLevel="0" collapsed="false">
      <c r="A33" s="9" t="n">
        <v>121059</v>
      </c>
      <c r="B33" s="9" t="n">
        <v>25</v>
      </c>
      <c r="C33" s="17" t="n">
        <v>2702</v>
      </c>
      <c r="D33" s="18" t="n">
        <v>0.267904509</v>
      </c>
      <c r="E33" s="18" t="n">
        <v>0.333765852451324</v>
      </c>
      <c r="F33" s="9" t="str">
        <f aca="false">IF(E33&lt;0.03,"Low risk",IF(E33&lt;0.082,"Moderate risk","Decline"))</f>
        <v>Decline</v>
      </c>
      <c r="G33" s="19"/>
    </row>
    <row r="34" customFormat="false" ht="15" hidden="false" customHeight="false" outlineLevel="0" collapsed="false">
      <c r="A34" s="9" t="n">
        <v>10202</v>
      </c>
      <c r="B34" s="9" t="n">
        <v>23</v>
      </c>
      <c r="C34" s="17" t="n">
        <v>1</v>
      </c>
      <c r="D34" s="18" t="n">
        <v>0.9999999</v>
      </c>
      <c r="E34" s="18" t="n">
        <v>0.400614297389984</v>
      </c>
      <c r="F34" s="9" t="str">
        <f aca="false">IF(E34&lt;0.03,"Low risk",IF(E34&lt;0.082,"Moderate risk","Decline"))</f>
        <v>Decline</v>
      </c>
      <c r="G34" s="19"/>
    </row>
    <row r="37" customFormat="false" ht="15" hidden="false" customHeight="false" outlineLevel="0" collapsed="false">
      <c r="A37" s="2" t="s">
        <v>28</v>
      </c>
    </row>
    <row r="38" customFormat="false" ht="15" hidden="false" customHeight="false" outlineLevel="0" collapsed="false">
      <c r="A38" s="20"/>
      <c r="B38" s="21" t="s">
        <v>29</v>
      </c>
    </row>
    <row r="39" customFormat="false" ht="15" hidden="false" customHeight="false" outlineLevel="0" collapsed="false">
      <c r="A39" s="22"/>
      <c r="B39" s="21" t="s">
        <v>30</v>
      </c>
    </row>
  </sheetData>
  <mergeCells count="2">
    <mergeCell ref="A1:G1"/>
    <mergeCell ref="A2:G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2026-09-10T13:20:11Z</dcterms:created>
  <dc:creator>openpyxl</dc:creator>
  <dc:description/>
  <dc:language>en-US</dc:language>
  <cp:lastModifiedBy/>
  <dcterms:modified xsi:type="dcterms:W3CDTF">2026-09-10T13:20:11Z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